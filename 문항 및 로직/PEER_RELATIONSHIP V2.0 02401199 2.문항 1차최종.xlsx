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684B7C-24F4-4DD4-9DE7-236AB064212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1. 척도코드" sheetId="1" r:id="rId1"/>
    <sheet name="22. 문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" i="2" l="1"/>
  <c r="AO10" i="2"/>
  <c r="AK10" i="2"/>
  <c r="AG10" i="2"/>
  <c r="AS9" i="2"/>
  <c r="AO9" i="2"/>
  <c r="AK9" i="2"/>
  <c r="AG9" i="2"/>
  <c r="AS8" i="2"/>
  <c r="AO8" i="2"/>
  <c r="AK8" i="2"/>
  <c r="AG8" i="2"/>
  <c r="AS7" i="2"/>
  <c r="AO7" i="2"/>
  <c r="AK7" i="2"/>
  <c r="AG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백승아</author>
  </authors>
  <commentList>
    <comment ref="G2" authorId="0" shapeId="0" xr:uid="{00000000-0006-0000-01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백승아:
도구형: N
지필형: Y</t>
        </r>
      </text>
    </comment>
  </commentList>
</comments>
</file>

<file path=xl/sharedStrings.xml><?xml version="1.0" encoding="utf-8"?>
<sst xmlns="http://schemas.openxmlformats.org/spreadsheetml/2006/main" count="307" uniqueCount="101">
  <si>
    <t>척도코드 업로드 양식</t>
  </si>
  <si>
    <t>검사상품코드</t>
  </si>
  <si>
    <t>검사상품버전</t>
  </si>
  <si>
    <t>서브검사상품코드</t>
  </si>
  <si>
    <t>척도레벨</t>
  </si>
  <si>
    <t>척도코드</t>
  </si>
  <si>
    <t>척도코드명</t>
  </si>
  <si>
    <t>A01</t>
  </si>
  <si>
    <t>B01</t>
  </si>
  <si>
    <t>C01</t>
  </si>
  <si>
    <t>D01</t>
  </si>
  <si>
    <t>E01</t>
  </si>
  <si>
    <t>도구형 문항 업로드 양식</t>
  </si>
  <si>
    <t>척도형여부_전체(Y/N)</t>
  </si>
  <si>
    <t>Y</t>
  </si>
  <si>
    <t>문항번호</t>
  </si>
  <si>
    <t>지문</t>
  </si>
  <si>
    <t>이미지url</t>
  </si>
  <si>
    <t>미디어url</t>
  </si>
  <si>
    <t>하위척도코드</t>
  </si>
  <si>
    <t>척도관리번호</t>
  </si>
  <si>
    <t>하위척도코드명</t>
  </si>
  <si>
    <t>결정문항여부</t>
  </si>
  <si>
    <t>역문항</t>
  </si>
  <si>
    <t>시작점수</t>
  </si>
  <si>
    <t>끝점수</t>
  </si>
  <si>
    <t>보기개수</t>
  </si>
  <si>
    <t>보기1점수</t>
  </si>
  <si>
    <t>보기1지문</t>
  </si>
  <si>
    <t>보기1이미지url</t>
  </si>
  <si>
    <t>보기1미디어url</t>
  </si>
  <si>
    <t>보기2점수</t>
  </si>
  <si>
    <t>보기2지문</t>
  </si>
  <si>
    <t>보기2이미지url</t>
  </si>
  <si>
    <t>보기2미디어url</t>
  </si>
  <si>
    <t>보기3점수</t>
  </si>
  <si>
    <t>보기3지문</t>
  </si>
  <si>
    <t>보기3이미지url</t>
  </si>
  <si>
    <t>보기3미디어url</t>
  </si>
  <si>
    <t>보기4점수</t>
  </si>
  <si>
    <t>보기4지문</t>
  </si>
  <si>
    <t>보기4이미지url</t>
  </si>
  <si>
    <t>보기4미디어url</t>
  </si>
  <si>
    <t>보기5점수</t>
  </si>
  <si>
    <t>보기5지문</t>
  </si>
  <si>
    <t>보기5이미지url</t>
  </si>
  <si>
    <t>보기5미디어url</t>
  </si>
  <si>
    <t>보기6점수</t>
  </si>
  <si>
    <t>보기6지문</t>
  </si>
  <si>
    <t>보기6이미지url</t>
  </si>
  <si>
    <t>보기6미디어url</t>
  </si>
  <si>
    <t>보기7점수</t>
  </si>
  <si>
    <t>보기7지문</t>
  </si>
  <si>
    <t>보기7이미지url</t>
  </si>
  <si>
    <t>보기7미디어url</t>
  </si>
  <si>
    <t>보기8점수</t>
  </si>
  <si>
    <t>보기8지문</t>
  </si>
  <si>
    <t>보기8이미지url</t>
  </si>
  <si>
    <t>보기8미디어url</t>
  </si>
  <si>
    <t>보기9점수</t>
  </si>
  <si>
    <t>보기9지문</t>
  </si>
  <si>
    <t>보기9이미지url</t>
  </si>
  <si>
    <t>보기9미디어url</t>
  </si>
  <si>
    <t>N</t>
  </si>
  <si>
    <t>PEER_RELATIONSHIP</t>
    <phoneticPr fontId="2" type="noConversion"/>
  </si>
  <si>
    <t>보통이다.</t>
    <phoneticPr fontId="2" type="noConversion"/>
  </si>
  <si>
    <t>별로 그렇지 않다.</t>
    <phoneticPr fontId="2" type="noConversion"/>
  </si>
  <si>
    <t>전혀 그렇지 않다.</t>
    <phoneticPr fontId="2" type="noConversion"/>
  </si>
  <si>
    <t>대체로 그렇다.</t>
    <phoneticPr fontId="2" type="noConversion"/>
  </si>
  <si>
    <t>매우 그렇다.</t>
    <phoneticPr fontId="2" type="noConversion"/>
  </si>
  <si>
    <t>나는 인기가 없는 학생들에게 친구들로부터 인기를 얻고 인정받을 수 있는 사회적 기술과 전략을 알려주려고 노력한다.</t>
  </si>
  <si>
    <t>나는 인기가 없는 학생들을 위해 학급에서 친구들과 함께 사이좋게 지내는 것의 중요성을 강조한다.</t>
  </si>
  <si>
    <t>나는 인기가 없는 학생을 위해, 인기있는 학생과 짝궁을 맺어주거나, 다른 친구들과 함께 공부할 수 있는 기회를 제공한다.</t>
  </si>
  <si>
    <t>나는 학생들이 폭력 행동 또는 또래를 괴롭히는 행동을 할 경우 꼭 따로 불러 잘못된 행동에 대해 설명하고 주의를 준다.</t>
  </si>
  <si>
    <t>나는 학생이 또래로부터 괴롭힘을 당하는 것을 발견하면 바로 개입하여 피해를 줄일 수 있도록 노력한다.</t>
  </si>
  <si>
    <t>나는 또래로부터 괴롭힘을 당하는 학생에게 괴롭힘에 효과적으로 대처하고 괴롭힘을 피할 수 있는 방법을 알려주려고 노력한다.</t>
  </si>
  <si>
    <t xml:space="preserve">학생의 평등한 지위관리 </t>
  </si>
  <si>
    <t>소외 학생관리</t>
  </si>
  <si>
    <t>문제행동 관리</t>
  </si>
  <si>
    <t>공격성 관리</t>
  </si>
  <si>
    <t>긍정적 학습 분위기 조성</t>
  </si>
  <si>
    <t>V2.0</t>
    <phoneticPr fontId="2" type="noConversion"/>
  </si>
  <si>
    <t>V2.0</t>
  </si>
  <si>
    <t>02401199</t>
    <phoneticPr fontId="2" type="noConversion"/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</si>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</sst>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0"/>
      <name val="신명조"/>
      <family val="2"/>
      <charset val="129"/>
    </font>
    <font>
      <sz val="10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9C0006"/>
      <name val="신명조"/>
      <family val="2"/>
      <charset val="129"/>
    </font>
    <font>
      <sz val="1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2" borderId="0">
      <alignment vertical="center"/>
    </xf>
    <xf numFmtId="0" fontId="7" fillId="3" borderId="0">
      <alignment vertical="center"/>
    </xf>
    <xf numFmtId="0" fontId="3" fillId="4" borderId="1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0" borderId="2" xfId="1" applyFont="1" applyFill="1" applyBorder="1">
      <alignment vertical="center"/>
    </xf>
    <xf numFmtId="0" fontId="1" fillId="0" borderId="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1" applyFont="1" applyFill="1">
      <alignment vertical="center"/>
    </xf>
    <xf numFmtId="0" fontId="5" fillId="4" borderId="2" xfId="3" applyFont="1" applyBorder="1" applyAlignment="1">
      <alignment horizontal="center" vertical="center"/>
    </xf>
    <xf numFmtId="0" fontId="5" fillId="4" borderId="2" xfId="3" applyFont="1" applyBorder="1">
      <alignment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4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/>
    <xf numFmtId="0" fontId="4" fillId="0" borderId="2" xfId="1" applyFill="1" applyBorder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2" applyFont="1" applyFill="1" applyBorder="1">
      <alignment vertical="center"/>
    </xf>
    <xf numFmtId="0" fontId="4" fillId="0" borderId="2" xfId="4" applyFont="1" applyBorder="1">
      <alignment vertical="center"/>
    </xf>
    <xf numFmtId="0" fontId="1" fillId="4" borderId="2" xfId="3" applyFont="1" applyBorder="1" applyAlignment="1">
      <alignment horizontal="right" vertical="center"/>
    </xf>
    <xf numFmtId="0" fontId="0" fillId="0" borderId="3" xfId="0" applyBorder="1" applyAlignment="1"/>
    <xf numFmtId="0" fontId="5" fillId="2" borderId="2" xfId="1" applyFont="1" applyBorder="1">
      <alignment vertical="center"/>
    </xf>
    <xf numFmtId="0" fontId="0" fillId="0" borderId="4" xfId="0" applyBorder="1" applyAlignment="1"/>
    <xf numFmtId="49" fontId="5" fillId="2" borderId="2" xfId="1" applyNumberFormat="1" applyFont="1" applyBorder="1">
      <alignment vertical="center"/>
    </xf>
    <xf numFmtId="49" fontId="0" fillId="0" borderId="4" xfId="0" applyNumberFormat="1" applyBorder="1" applyAlignment="1"/>
    <xf numFmtId="49" fontId="0" fillId="0" borderId="3" xfId="0" applyNumberFormat="1" applyBorder="1" applyAlignment="1"/>
    <xf numFmtId="0" fontId="1" fillId="0" borderId="2" xfId="0" applyFont="1" applyBorder="1">
      <alignment vertical="center"/>
    </xf>
    <xf numFmtId="0" fontId="1" fillId="2" borderId="5" xfId="1" applyFont="1" applyBorder="1">
      <alignment vertical="center"/>
    </xf>
    <xf numFmtId="0" fontId="1" fillId="2" borderId="4" xfId="1" applyFont="1" applyBorder="1">
      <alignment vertical="center"/>
    </xf>
    <xf numFmtId="0" fontId="1" fillId="2" borderId="3" xfId="1" applyFont="1" applyBorder="1">
      <alignment vertical="center"/>
    </xf>
    <xf numFmtId="0" fontId="5" fillId="4" borderId="2" xfId="3" applyFont="1" applyBorder="1" applyAlignment="1">
      <alignment horizontal="right" vertical="center"/>
    </xf>
    <xf numFmtId="0" fontId="5" fillId="0" borderId="0" xfId="0" applyFont="1">
      <alignment vertical="center"/>
    </xf>
  </cellXfs>
  <cellStyles count="5">
    <cellStyle name="나쁨" xfId="2" builtinId="27"/>
    <cellStyle name="셀 확인" xfId="3" builtinId="23"/>
    <cellStyle name="좋음" xfId="1" builtinId="26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15" zoomScaleNormal="115" workbookViewId="0">
      <selection activeCell="C4" sqref="C4:E4"/>
    </sheetView>
  </sheetViews>
  <sheetFormatPr defaultColWidth="9" defaultRowHeight="12"/>
  <cols>
    <col min="1" max="2" width="8.5" style="2" bestFit="1" customWidth="1"/>
    <col min="3" max="3" width="22.875" style="2" bestFit="1" customWidth="1"/>
    <col min="4" max="5" width="15.75" style="2" customWidth="1"/>
    <col min="6" max="7" width="9" style="2" customWidth="1"/>
    <col min="8" max="16384" width="9" style="2"/>
  </cols>
  <sheetData>
    <row r="1" spans="1:5" ht="16.5" customHeight="1">
      <c r="A1" s="28" t="s">
        <v>0</v>
      </c>
      <c r="B1" s="24"/>
      <c r="C1" s="24"/>
      <c r="D1" s="24"/>
      <c r="E1" s="22"/>
    </row>
    <row r="2" spans="1:5" ht="16.5" customHeight="1">
      <c r="A2" s="21" t="s">
        <v>1</v>
      </c>
      <c r="B2" s="22"/>
      <c r="C2" s="23" t="s">
        <v>64</v>
      </c>
      <c r="D2" s="24"/>
      <c r="E2" s="22"/>
    </row>
    <row r="3" spans="1:5" ht="16.5" customHeight="1">
      <c r="A3" s="21" t="s">
        <v>2</v>
      </c>
      <c r="B3" s="22"/>
      <c r="C3" s="29" t="s">
        <v>82</v>
      </c>
      <c r="D3" s="30"/>
      <c r="E3" s="31"/>
    </row>
    <row r="4" spans="1:5" ht="16.5" customHeight="1">
      <c r="A4" s="21" t="s">
        <v>3</v>
      </c>
      <c r="B4" s="22"/>
      <c r="C4" s="25" t="s">
        <v>83</v>
      </c>
      <c r="D4" s="26"/>
      <c r="E4" s="27"/>
    </row>
    <row r="6" spans="1:5">
      <c r="A6" s="1" t="s">
        <v>4</v>
      </c>
      <c r="B6" s="1" t="s">
        <v>5</v>
      </c>
      <c r="C6" s="1" t="s">
        <v>6</v>
      </c>
    </row>
    <row r="7" spans="1:5">
      <c r="A7" s="3">
        <v>1</v>
      </c>
      <c r="B7" s="4" t="s">
        <v>7</v>
      </c>
      <c r="C7" s="3" t="s">
        <v>76</v>
      </c>
    </row>
    <row r="8" spans="1:5">
      <c r="A8" s="3">
        <v>1</v>
      </c>
      <c r="B8" s="4" t="s">
        <v>8</v>
      </c>
      <c r="C8" s="3" t="s">
        <v>77</v>
      </c>
    </row>
    <row r="9" spans="1:5">
      <c r="A9" s="3">
        <v>1</v>
      </c>
      <c r="B9" s="4" t="s">
        <v>9</v>
      </c>
      <c r="C9" s="3" t="s">
        <v>78</v>
      </c>
    </row>
    <row r="10" spans="1:5">
      <c r="A10" s="3">
        <v>1</v>
      </c>
      <c r="B10" s="4" t="s">
        <v>10</v>
      </c>
      <c r="C10" s="3" t="s">
        <v>79</v>
      </c>
    </row>
    <row r="11" spans="1:5">
      <c r="A11" s="3">
        <v>1</v>
      </c>
      <c r="B11" s="4" t="s">
        <v>11</v>
      </c>
      <c r="C11" s="3" t="s">
        <v>80</v>
      </c>
    </row>
  </sheetData>
  <mergeCells count="7">
    <mergeCell ref="A4:B4"/>
    <mergeCell ref="C2:E2"/>
    <mergeCell ref="A2:B2"/>
    <mergeCell ref="C4:E4"/>
    <mergeCell ref="A1:E1"/>
    <mergeCell ref="C3:E3"/>
    <mergeCell ref="A3:B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9"/>
  <sheetViews>
    <sheetView tabSelected="1" zoomScaleNormal="100" workbookViewId="0">
      <selection activeCell="B17" sqref="B17"/>
    </sheetView>
  </sheetViews>
  <sheetFormatPr defaultColWidth="9" defaultRowHeight="12"/>
  <cols>
    <col min="1" max="1" width="8.5" style="11" bestFit="1" customWidth="1"/>
    <col min="2" max="2" width="53.625" style="5" customWidth="1"/>
    <col min="3" max="3" width="17" style="5" customWidth="1"/>
    <col min="4" max="4" width="21" style="5" customWidth="1"/>
    <col min="5" max="5" width="12.25" style="5" bestFit="1" customWidth="1"/>
    <col min="6" max="6" width="19" style="5" bestFit="1" customWidth="1"/>
    <col min="7" max="7" width="22.75" style="5" bestFit="1" customWidth="1"/>
    <col min="8" max="8" width="21.875" style="5" bestFit="1" customWidth="1"/>
    <col min="9" max="9" width="6.75" style="5" bestFit="1" customWidth="1"/>
    <col min="10" max="10" width="8.5" style="5" bestFit="1" customWidth="1"/>
    <col min="11" max="11" width="6.75" style="5" bestFit="1" customWidth="1"/>
    <col min="12" max="12" width="8.5" style="5" bestFit="1" customWidth="1"/>
    <col min="13" max="14" width="9.375" style="5" bestFit="1" customWidth="1"/>
    <col min="15" max="16" width="1.375" style="5" customWidth="1"/>
    <col min="17" max="18" width="9.375" style="5" bestFit="1" customWidth="1"/>
    <col min="19" max="20" width="1.375" style="5" customWidth="1"/>
    <col min="21" max="22" width="9.375" style="5" bestFit="1" customWidth="1"/>
    <col min="23" max="24" width="1.375" style="5" customWidth="1"/>
    <col min="25" max="26" width="9.375" style="5" bestFit="1" customWidth="1"/>
    <col min="27" max="28" width="1.375" style="5" customWidth="1"/>
    <col min="29" max="29" width="12.25" style="5" bestFit="1" customWidth="1"/>
    <col min="30" max="30" width="14.125" style="5" bestFit="1" customWidth="1"/>
    <col min="31" max="32" width="1.375" style="5" customWidth="1"/>
    <col min="33" max="33" width="9.375" style="5" bestFit="1" customWidth="1"/>
    <col min="34" max="35" width="14.125" style="5" bestFit="1" customWidth="1"/>
    <col min="36" max="37" width="9.375" style="5" bestFit="1" customWidth="1"/>
    <col min="38" max="39" width="14.125" style="5" bestFit="1" customWidth="1"/>
    <col min="40" max="41" width="9.375" style="5" bestFit="1" customWidth="1"/>
    <col min="42" max="43" width="14.125" style="5" bestFit="1" customWidth="1"/>
    <col min="44" max="45" width="9.375" style="5" bestFit="1" customWidth="1"/>
    <col min="46" max="47" width="14.125" style="5" bestFit="1" customWidth="1"/>
    <col min="48" max="49" width="9" style="5" customWidth="1"/>
    <col min="50" max="16384" width="9" style="5"/>
  </cols>
  <sheetData>
    <row r="1" spans="1:48">
      <c r="A1" s="33" t="s">
        <v>12</v>
      </c>
      <c r="B1" s="33"/>
      <c r="C1" s="33"/>
      <c r="D1" s="33"/>
      <c r="E1" s="33"/>
      <c r="F1" s="33"/>
    </row>
    <row r="2" spans="1:48" ht="16.5" customHeight="1">
      <c r="A2" s="32" t="s">
        <v>1</v>
      </c>
      <c r="B2" s="22"/>
      <c r="C2" s="23" t="s">
        <v>64</v>
      </c>
      <c r="D2" s="24"/>
      <c r="E2" s="22"/>
      <c r="G2" s="6" t="s">
        <v>13</v>
      </c>
    </row>
    <row r="3" spans="1:48" ht="16.5" customHeight="1">
      <c r="A3" s="32" t="s">
        <v>2</v>
      </c>
      <c r="B3" s="22"/>
      <c r="C3" s="23" t="s">
        <v>81</v>
      </c>
      <c r="D3" s="24"/>
      <c r="E3" s="22"/>
      <c r="G3" s="6" t="s">
        <v>14</v>
      </c>
    </row>
    <row r="4" spans="1:48" ht="16.5" customHeight="1">
      <c r="A4" s="32" t="s">
        <v>3</v>
      </c>
      <c r="B4" s="22"/>
      <c r="C4" s="25" t="s">
        <v>83</v>
      </c>
      <c r="D4" s="26"/>
      <c r="E4" s="27"/>
    </row>
    <row r="5" spans="1:48">
      <c r="A5" s="5"/>
    </row>
    <row r="6" spans="1:48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8" t="s">
        <v>21</v>
      </c>
      <c r="H6" s="8" t="s">
        <v>22</v>
      </c>
      <c r="I6" s="7" t="s">
        <v>23</v>
      </c>
      <c r="J6" s="7" t="s">
        <v>24</v>
      </c>
      <c r="K6" s="7" t="s">
        <v>25</v>
      </c>
      <c r="L6" s="7" t="s">
        <v>26</v>
      </c>
      <c r="M6" s="7" t="s">
        <v>27</v>
      </c>
      <c r="N6" s="7" t="s">
        <v>28</v>
      </c>
      <c r="O6" s="7" t="s">
        <v>29</v>
      </c>
      <c r="P6" s="7" t="s">
        <v>30</v>
      </c>
      <c r="Q6" s="7" t="s">
        <v>31</v>
      </c>
      <c r="R6" s="7" t="s">
        <v>32</v>
      </c>
      <c r="S6" s="7" t="s">
        <v>33</v>
      </c>
      <c r="T6" s="7" t="s">
        <v>34</v>
      </c>
      <c r="U6" s="7" t="s">
        <v>35</v>
      </c>
      <c r="V6" s="7" t="s">
        <v>36</v>
      </c>
      <c r="W6" s="7" t="s">
        <v>37</v>
      </c>
      <c r="X6" s="7" t="s">
        <v>38</v>
      </c>
      <c r="Y6" s="7" t="s">
        <v>39</v>
      </c>
      <c r="Z6" s="7" t="s">
        <v>40</v>
      </c>
      <c r="AA6" s="7" t="s">
        <v>41</v>
      </c>
      <c r="AB6" s="7" t="s">
        <v>42</v>
      </c>
      <c r="AC6" s="7" t="s">
        <v>43</v>
      </c>
      <c r="AD6" s="7" t="s">
        <v>44</v>
      </c>
      <c r="AE6" s="7" t="s">
        <v>45</v>
      </c>
      <c r="AF6" s="7" t="s">
        <v>46</v>
      </c>
      <c r="AG6" s="7" t="s">
        <v>47</v>
      </c>
      <c r="AH6" s="7" t="s">
        <v>48</v>
      </c>
      <c r="AI6" s="7" t="s">
        <v>49</v>
      </c>
      <c r="AJ6" s="7" t="s">
        <v>50</v>
      </c>
      <c r="AK6" s="7" t="s">
        <v>51</v>
      </c>
      <c r="AL6" s="7" t="s">
        <v>52</v>
      </c>
      <c r="AM6" s="7" t="s">
        <v>53</v>
      </c>
      <c r="AN6" s="7" t="s">
        <v>54</v>
      </c>
      <c r="AO6" s="7" t="s">
        <v>55</v>
      </c>
      <c r="AP6" s="7" t="s">
        <v>56</v>
      </c>
      <c r="AQ6" s="7" t="s">
        <v>57</v>
      </c>
      <c r="AR6" s="7" t="s">
        <v>58</v>
      </c>
      <c r="AS6" s="7" t="s">
        <v>59</v>
      </c>
      <c r="AT6" s="7" t="s">
        <v>60</v>
      </c>
      <c r="AU6" s="7" t="s">
        <v>61</v>
      </c>
      <c r="AV6" s="7" t="s">
        <v>62</v>
      </c>
    </row>
    <row r="7" spans="1:48" ht="13.5" customHeight="1">
      <c r="A7" s="9">
        <v>1</v>
      </c>
      <c r="B7" s="15" t="s">
        <v>100</v>
      </c>
      <c r="C7" s="12"/>
      <c r="D7" s="12"/>
      <c r="E7" s="10" t="s">
        <v>7</v>
      </c>
      <c r="F7" s="10">
        <v>1</v>
      </c>
      <c r="G7" s="16" t="s">
        <v>76</v>
      </c>
      <c r="H7" s="13" t="s">
        <v>63</v>
      </c>
      <c r="I7" s="9" t="s">
        <v>63</v>
      </c>
      <c r="J7" s="9">
        <v>1</v>
      </c>
      <c r="K7" s="9">
        <v>5</v>
      </c>
      <c r="L7" s="13">
        <v>5</v>
      </c>
      <c r="M7" s="19">
        <v>1</v>
      </c>
      <c r="N7" s="20" t="s">
        <v>67</v>
      </c>
      <c r="O7" s="20"/>
      <c r="P7" s="20"/>
      <c r="Q7" s="19">
        <v>2</v>
      </c>
      <c r="R7" s="20" t="s">
        <v>66</v>
      </c>
      <c r="S7" s="20"/>
      <c r="T7" s="20"/>
      <c r="U7" s="19">
        <v>3</v>
      </c>
      <c r="V7" s="20" t="s">
        <v>65</v>
      </c>
      <c r="W7" s="20"/>
      <c r="X7" s="20"/>
      <c r="Y7" s="20">
        <v>4</v>
      </c>
      <c r="Z7" s="20" t="s">
        <v>68</v>
      </c>
      <c r="AA7" s="20"/>
      <c r="AB7" s="20"/>
      <c r="AC7" s="20">
        <v>5</v>
      </c>
      <c r="AD7" s="20" t="s">
        <v>69</v>
      </c>
      <c r="AE7" s="13"/>
      <c r="AF7" s="13"/>
      <c r="AG7" s="13" t="str">
        <f>IF(AND($J7=0,$K7=0),"",IF(MID(AG$6,3,1)*1=$L7,-1,IF(MID(AG$6,3,1)*1&gt;$L7,"",IF($I7="Y",AC7-1,IF($I7="N",AC7+1,"??")))))</f>
        <v/>
      </c>
      <c r="AH7" s="13"/>
      <c r="AI7" s="13"/>
      <c r="AJ7" s="13"/>
      <c r="AK7" s="13" t="str">
        <f>IF(AND($J7=0,$K7=0),"",IF(MID(AK$6,3,1)*1=$L7,-1,IF(MID(AK$6,3,1)*1&gt;$L7,"",IF($I7="Y",AG7-1,IF($I7="N",AG7+1,"??")))))</f>
        <v/>
      </c>
      <c r="AL7" s="13"/>
      <c r="AM7" s="13"/>
      <c r="AN7" s="13"/>
      <c r="AO7" s="13" t="str">
        <f>IF(AND($J7=0,$K7=0),"",IF(MID(AO$6,3,1)*1=$L7,-1,IF(MID(AO$6,3,1)*1&gt;$L7,"",IF($I7="Y",AK7-1,IF($I7="N",AK7+1,"??")))))</f>
        <v/>
      </c>
      <c r="AP7" s="13"/>
      <c r="AQ7" s="13"/>
      <c r="AR7" s="13"/>
      <c r="AS7" s="13" t="str">
        <f>IF(AND($J7=0,$K7=0),"",IF(MID(AS$6,3,1)*1=$L7,-1,IF(MID(AS$6,3,1)*1&gt;$L7,"",IF($I7="Y",AO7-1,IF($I7="N",AO7+1,"??")))))</f>
        <v/>
      </c>
      <c r="AT7" s="13"/>
      <c r="AU7" s="13"/>
      <c r="AV7" s="13"/>
    </row>
    <row r="8" spans="1:48" ht="13.5" customHeight="1">
      <c r="A8" s="9">
        <v>2</v>
      </c>
      <c r="B8" s="15" t="s">
        <v>87</v>
      </c>
      <c r="C8" s="12"/>
      <c r="D8" s="12"/>
      <c r="E8" s="10" t="s">
        <v>7</v>
      </c>
      <c r="F8" s="10">
        <v>2</v>
      </c>
      <c r="G8" s="16" t="s">
        <v>76</v>
      </c>
      <c r="H8" s="13" t="s">
        <v>63</v>
      </c>
      <c r="I8" s="9" t="s">
        <v>63</v>
      </c>
      <c r="J8" s="9">
        <v>1</v>
      </c>
      <c r="K8" s="9">
        <v>5</v>
      </c>
      <c r="L8" s="13">
        <v>5</v>
      </c>
      <c r="M8" s="19">
        <v>1</v>
      </c>
      <c r="N8" s="20" t="s">
        <v>67</v>
      </c>
      <c r="O8" s="20"/>
      <c r="P8" s="20"/>
      <c r="Q8" s="19">
        <v>2</v>
      </c>
      <c r="R8" s="20" t="s">
        <v>66</v>
      </c>
      <c r="S8" s="20"/>
      <c r="T8" s="20"/>
      <c r="U8" s="19">
        <v>3</v>
      </c>
      <c r="V8" s="20" t="s">
        <v>65</v>
      </c>
      <c r="W8" s="20"/>
      <c r="X8" s="20"/>
      <c r="Y8" s="20">
        <v>4</v>
      </c>
      <c r="Z8" s="20" t="s">
        <v>68</v>
      </c>
      <c r="AA8" s="20"/>
      <c r="AB8" s="20"/>
      <c r="AC8" s="20">
        <v>5</v>
      </c>
      <c r="AD8" s="20" t="s">
        <v>69</v>
      </c>
      <c r="AE8" s="13"/>
      <c r="AF8" s="13"/>
      <c r="AG8" s="13" t="str">
        <f>IF(AND($J8=0,$K8=0),"",IF(MID(AG$6,3,1)*1=$L8,-1,IF(MID(AG$6,3,1)*1&gt;$L8,"",IF($I8="Y",AC8-1,IF($I8="N",AC8+1,"??")))))</f>
        <v/>
      </c>
      <c r="AH8" s="13"/>
      <c r="AI8" s="13"/>
      <c r="AJ8" s="13"/>
      <c r="AK8" s="13" t="str">
        <f>IF(AND($J8=0,$K8=0),"",IF(MID(AK$6,3,1)*1=$L8,-1,IF(MID(AK$6,3,1)*1&gt;$L8,"",IF($I8="Y",AG8-1,IF($I8="N",AG8+1,"??")))))</f>
        <v/>
      </c>
      <c r="AL8" s="13"/>
      <c r="AM8" s="13"/>
      <c r="AN8" s="13"/>
      <c r="AO8" s="13" t="str">
        <f>IF(AND($J8=0,$K8=0),"",IF(MID(AO$6,3,1)*1=$L8,-1,IF(MID(AO$6,3,1)*1&gt;$L8,"",IF($I8="Y",AK8-1,IF($I8="N",AK8+1,"??")))))</f>
        <v/>
      </c>
      <c r="AP8" s="13"/>
      <c r="AQ8" s="13"/>
      <c r="AR8" s="13"/>
      <c r="AS8" s="13" t="str">
        <f>IF(AND($J8=0,$K8=0),"",IF(MID(AS$6,3,1)*1=$L8,-1,IF(MID(AS$6,3,1)*1&gt;$L8,"",IF($I8="Y",AO8-1,IF($I8="N",AO8+1,"??")))))</f>
        <v/>
      </c>
      <c r="AT8" s="13"/>
      <c r="AU8" s="13"/>
      <c r="AV8" s="13"/>
    </row>
    <row r="9" spans="1:48" ht="13.5" customHeight="1">
      <c r="A9" s="9">
        <v>3</v>
      </c>
      <c r="B9" s="15" t="s">
        <v>70</v>
      </c>
      <c r="C9" s="12"/>
      <c r="D9" s="12"/>
      <c r="E9" s="10" t="s">
        <v>7</v>
      </c>
      <c r="F9" s="10">
        <v>3</v>
      </c>
      <c r="G9" s="16" t="s">
        <v>76</v>
      </c>
      <c r="H9" s="13" t="s">
        <v>63</v>
      </c>
      <c r="I9" s="9" t="s">
        <v>63</v>
      </c>
      <c r="J9" s="9">
        <v>1</v>
      </c>
      <c r="K9" s="9">
        <v>5</v>
      </c>
      <c r="L9" s="13">
        <v>5</v>
      </c>
      <c r="M9" s="19">
        <v>1</v>
      </c>
      <c r="N9" s="20" t="s">
        <v>67</v>
      </c>
      <c r="O9" s="20"/>
      <c r="P9" s="20"/>
      <c r="Q9" s="19">
        <v>2</v>
      </c>
      <c r="R9" s="20" t="s">
        <v>66</v>
      </c>
      <c r="S9" s="20"/>
      <c r="T9" s="20"/>
      <c r="U9" s="19">
        <v>3</v>
      </c>
      <c r="V9" s="20" t="s">
        <v>65</v>
      </c>
      <c r="W9" s="20"/>
      <c r="X9" s="20"/>
      <c r="Y9" s="20">
        <v>4</v>
      </c>
      <c r="Z9" s="20" t="s">
        <v>68</v>
      </c>
      <c r="AA9" s="20"/>
      <c r="AB9" s="20"/>
      <c r="AC9" s="20">
        <v>5</v>
      </c>
      <c r="AD9" s="20" t="s">
        <v>69</v>
      </c>
      <c r="AE9" s="13"/>
      <c r="AF9" s="13"/>
      <c r="AG9" s="13" t="str">
        <f>IF(AND($J9=0,$K9=0),"",IF(MID(AG$6,3,1)*1=$L9,-1,IF(MID(AG$6,3,1)*1&gt;$L9,"",IF($I9="Y",AC9-1,IF($I9="N",AC9+1,"??")))))</f>
        <v/>
      </c>
      <c r="AH9" s="13"/>
      <c r="AI9" s="13"/>
      <c r="AJ9" s="13"/>
      <c r="AK9" s="13" t="str">
        <f>IF(AND($J9=0,$K9=0),"",IF(MID(AK$6,3,1)*1=$L9,-1,IF(MID(AK$6,3,1)*1&gt;$L9,"",IF($I9="Y",AG9-1,IF($I9="N",AG9+1,"??")))))</f>
        <v/>
      </c>
      <c r="AL9" s="13"/>
      <c r="AM9" s="13"/>
      <c r="AN9" s="13"/>
      <c r="AO9" s="13" t="str">
        <f>IF(AND($J9=0,$K9=0),"",IF(MID(AO$6,3,1)*1=$L9,-1,IF(MID(AO$6,3,1)*1&gt;$L9,"",IF($I9="Y",AK9-1,IF($I9="N",AK9+1,"??")))))</f>
        <v/>
      </c>
      <c r="AP9" s="13"/>
      <c r="AQ9" s="13"/>
      <c r="AR9" s="13"/>
      <c r="AS9" s="13" t="str">
        <f>IF(AND($J9=0,$K9=0),"",IF(MID(AS$6,3,1)*1=$L9,-1,IF(MID(AS$6,3,1)*1&gt;$L9,"",IF($I9="Y",AO9-1,IF($I9="N",AO9+1,"??")))))</f>
        <v/>
      </c>
      <c r="AT9" s="13"/>
      <c r="AU9" s="13"/>
      <c r="AV9" s="13"/>
    </row>
    <row r="10" spans="1:48" ht="13.5" customHeight="1">
      <c r="A10" s="9">
        <v>4</v>
      </c>
      <c r="B10" s="15" t="s">
        <v>71</v>
      </c>
      <c r="C10" s="12"/>
      <c r="D10" s="12"/>
      <c r="E10" s="10" t="s">
        <v>7</v>
      </c>
      <c r="F10" s="10">
        <v>4</v>
      </c>
      <c r="G10" s="16" t="s">
        <v>76</v>
      </c>
      <c r="H10" s="13" t="s">
        <v>63</v>
      </c>
      <c r="I10" s="9" t="s">
        <v>63</v>
      </c>
      <c r="J10" s="9">
        <v>1</v>
      </c>
      <c r="K10" s="9">
        <v>5</v>
      </c>
      <c r="L10" s="13">
        <v>5</v>
      </c>
      <c r="M10" s="19">
        <v>1</v>
      </c>
      <c r="N10" s="20" t="s">
        <v>67</v>
      </c>
      <c r="O10" s="20"/>
      <c r="P10" s="20"/>
      <c r="Q10" s="19">
        <v>2</v>
      </c>
      <c r="R10" s="20" t="s">
        <v>66</v>
      </c>
      <c r="S10" s="20"/>
      <c r="T10" s="20"/>
      <c r="U10" s="19">
        <v>3</v>
      </c>
      <c r="V10" s="20" t="s">
        <v>65</v>
      </c>
      <c r="W10" s="20"/>
      <c r="X10" s="20"/>
      <c r="Y10" s="20">
        <v>4</v>
      </c>
      <c r="Z10" s="20" t="s">
        <v>68</v>
      </c>
      <c r="AA10" s="20"/>
      <c r="AB10" s="20"/>
      <c r="AC10" s="20">
        <v>5</v>
      </c>
      <c r="AD10" s="20" t="s">
        <v>69</v>
      </c>
      <c r="AE10" s="13"/>
      <c r="AF10" s="13"/>
      <c r="AG10" s="13" t="str">
        <f>IF(AND($J10=0,$K10=0),"",IF(MID(AG$6,3,1)*1=$L10,-1,IF(MID(AG$6,3,1)*1&gt;$L10,"",IF($I10="Y",AC10-1,IF($I10="N",AC10+1,"??")))))</f>
        <v/>
      </c>
      <c r="AH10" s="13"/>
      <c r="AI10" s="13"/>
      <c r="AJ10" s="13"/>
      <c r="AK10" s="13" t="str">
        <f>IF(AND($J10=0,$K10=0),"",IF(MID(AK$6,3,1)*1=$L10,-1,IF(MID(AK$6,3,1)*1&gt;$L10,"",IF($I10="Y",AG10-1,IF($I10="N",AG10+1,"??")))))</f>
        <v/>
      </c>
      <c r="AL10" s="13"/>
      <c r="AM10" s="13"/>
      <c r="AN10" s="13"/>
      <c r="AO10" s="13" t="str">
        <f>IF(AND($J10=0,$K10=0),"",IF(MID(AO$6,3,1)*1=$L10,-1,IF(MID(AO$6,3,1)*1&gt;$L10,"",IF($I10="Y",AK10-1,IF($I10="N",AK10+1,"??")))))</f>
        <v/>
      </c>
      <c r="AP10" s="13"/>
      <c r="AQ10" s="13"/>
      <c r="AR10" s="13"/>
      <c r="AS10" s="13" t="str">
        <f>IF(AND($J10=0,$K10=0),"",IF(MID(AS$6,3,1)*1=$L10,-1,IF(MID(AS$6,3,1)*1&gt;$L10,"",IF($I10="Y",AO10-1,IF($I10="N",AO10+1,"??")))))</f>
        <v/>
      </c>
      <c r="AT10" s="13"/>
      <c r="AU10" s="13"/>
      <c r="AV10" s="13"/>
    </row>
    <row r="11" spans="1:48" ht="13.5" customHeight="1">
      <c r="A11" s="14">
        <v>5</v>
      </c>
      <c r="B11" s="17" t="s">
        <v>72</v>
      </c>
      <c r="C11" s="12"/>
      <c r="D11" s="12"/>
      <c r="E11" s="10" t="s">
        <v>7</v>
      </c>
      <c r="F11" s="12">
        <v>5</v>
      </c>
      <c r="G11" s="16" t="s">
        <v>76</v>
      </c>
      <c r="H11" s="13" t="s">
        <v>63</v>
      </c>
      <c r="I11" s="9" t="s">
        <v>63</v>
      </c>
      <c r="J11" s="9">
        <v>1</v>
      </c>
      <c r="K11" s="9">
        <v>5</v>
      </c>
      <c r="L11" s="13">
        <v>5</v>
      </c>
      <c r="M11" s="19">
        <v>1</v>
      </c>
      <c r="N11" s="20" t="s">
        <v>67</v>
      </c>
      <c r="O11" s="20"/>
      <c r="P11" s="20"/>
      <c r="Q11" s="19">
        <v>2</v>
      </c>
      <c r="R11" s="20" t="s">
        <v>66</v>
      </c>
      <c r="S11" s="20"/>
      <c r="T11" s="20"/>
      <c r="U11" s="19">
        <v>3</v>
      </c>
      <c r="V11" s="20" t="s">
        <v>65</v>
      </c>
      <c r="W11" s="20"/>
      <c r="X11" s="20"/>
      <c r="Y11" s="20">
        <v>4</v>
      </c>
      <c r="Z11" s="20" t="s">
        <v>68</v>
      </c>
      <c r="AA11" s="20"/>
      <c r="AB11" s="20"/>
      <c r="AC11" s="20">
        <v>5</v>
      </c>
      <c r="AD11" s="20" t="s">
        <v>69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ht="13.5" customHeight="1">
      <c r="A12" s="14">
        <v>6</v>
      </c>
      <c r="B12" s="15" t="s">
        <v>88</v>
      </c>
      <c r="C12" s="12"/>
      <c r="D12" s="12"/>
      <c r="E12" s="10" t="s">
        <v>7</v>
      </c>
      <c r="F12" s="10">
        <v>6</v>
      </c>
      <c r="G12" s="16" t="s">
        <v>76</v>
      </c>
      <c r="H12" s="13" t="s">
        <v>63</v>
      </c>
      <c r="I12" s="9" t="s">
        <v>63</v>
      </c>
      <c r="J12" s="9">
        <v>1</v>
      </c>
      <c r="K12" s="9">
        <v>5</v>
      </c>
      <c r="L12" s="13">
        <v>5</v>
      </c>
      <c r="M12" s="19">
        <v>1</v>
      </c>
      <c r="N12" s="20" t="s">
        <v>67</v>
      </c>
      <c r="O12" s="20"/>
      <c r="P12" s="20"/>
      <c r="Q12" s="19">
        <v>2</v>
      </c>
      <c r="R12" s="20" t="s">
        <v>66</v>
      </c>
      <c r="S12" s="20"/>
      <c r="T12" s="20"/>
      <c r="U12" s="19">
        <v>3</v>
      </c>
      <c r="V12" s="20" t="s">
        <v>65</v>
      </c>
      <c r="W12" s="20"/>
      <c r="X12" s="20"/>
      <c r="Y12" s="20">
        <v>4</v>
      </c>
      <c r="Z12" s="20" t="s">
        <v>68</v>
      </c>
      <c r="AA12" s="20"/>
      <c r="AB12" s="20"/>
      <c r="AC12" s="20">
        <v>5</v>
      </c>
      <c r="AD12" s="20" t="s">
        <v>69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ht="13.5" customHeight="1">
      <c r="A13" s="14">
        <v>7</v>
      </c>
      <c r="B13" s="15" t="s">
        <v>89</v>
      </c>
      <c r="C13" s="12"/>
      <c r="D13" s="12"/>
      <c r="E13" s="10" t="s">
        <v>8</v>
      </c>
      <c r="F13" s="10">
        <v>7</v>
      </c>
      <c r="G13" s="16" t="s">
        <v>77</v>
      </c>
      <c r="H13" s="13" t="s">
        <v>63</v>
      </c>
      <c r="I13" s="9" t="s">
        <v>63</v>
      </c>
      <c r="J13" s="9">
        <v>1</v>
      </c>
      <c r="K13" s="9">
        <v>5</v>
      </c>
      <c r="L13" s="13">
        <v>5</v>
      </c>
      <c r="M13" s="19">
        <v>1</v>
      </c>
      <c r="N13" s="20" t="s">
        <v>67</v>
      </c>
      <c r="O13" s="20"/>
      <c r="P13" s="20"/>
      <c r="Q13" s="19">
        <v>2</v>
      </c>
      <c r="R13" s="20" t="s">
        <v>66</v>
      </c>
      <c r="S13" s="20"/>
      <c r="T13" s="20"/>
      <c r="U13" s="19">
        <v>3</v>
      </c>
      <c r="V13" s="20" t="s">
        <v>65</v>
      </c>
      <c r="W13" s="20"/>
      <c r="X13" s="20"/>
      <c r="Y13" s="20">
        <v>4</v>
      </c>
      <c r="Z13" s="20" t="s">
        <v>68</v>
      </c>
      <c r="AA13" s="20"/>
      <c r="AB13" s="20"/>
      <c r="AC13" s="20">
        <v>5</v>
      </c>
      <c r="AD13" s="20" t="s">
        <v>69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ht="13.5" customHeight="1">
      <c r="A14" s="14">
        <v>8</v>
      </c>
      <c r="B14" s="15" t="s">
        <v>90</v>
      </c>
      <c r="C14" s="12"/>
      <c r="D14" s="12"/>
      <c r="E14" s="10" t="s">
        <v>8</v>
      </c>
      <c r="F14" s="10">
        <v>8</v>
      </c>
      <c r="G14" s="16" t="s">
        <v>77</v>
      </c>
      <c r="H14" s="13" t="s">
        <v>63</v>
      </c>
      <c r="I14" s="9" t="s">
        <v>63</v>
      </c>
      <c r="J14" s="9">
        <v>1</v>
      </c>
      <c r="K14" s="9">
        <v>5</v>
      </c>
      <c r="L14" s="13">
        <v>5</v>
      </c>
      <c r="M14" s="19">
        <v>1</v>
      </c>
      <c r="N14" s="20" t="s">
        <v>67</v>
      </c>
      <c r="O14" s="20"/>
      <c r="P14" s="20"/>
      <c r="Q14" s="19">
        <v>2</v>
      </c>
      <c r="R14" s="20" t="s">
        <v>66</v>
      </c>
      <c r="S14" s="20"/>
      <c r="T14" s="20"/>
      <c r="U14" s="19">
        <v>3</v>
      </c>
      <c r="V14" s="20" t="s">
        <v>65</v>
      </c>
      <c r="W14" s="20"/>
      <c r="X14" s="20"/>
      <c r="Y14" s="20">
        <v>4</v>
      </c>
      <c r="Z14" s="20" t="s">
        <v>68</v>
      </c>
      <c r="AA14" s="20"/>
      <c r="AB14" s="20"/>
      <c r="AC14" s="20">
        <v>5</v>
      </c>
      <c r="AD14" s="20" t="s">
        <v>69</v>
      </c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13.5" customHeight="1">
      <c r="A15" s="14">
        <v>9</v>
      </c>
      <c r="B15" s="15" t="s">
        <v>84</v>
      </c>
      <c r="C15" s="12"/>
      <c r="D15" s="12"/>
      <c r="E15" s="10" t="s">
        <v>8</v>
      </c>
      <c r="F15" s="10">
        <v>9</v>
      </c>
      <c r="G15" s="16" t="s">
        <v>77</v>
      </c>
      <c r="H15" s="13" t="s">
        <v>63</v>
      </c>
      <c r="I15" s="9" t="s">
        <v>63</v>
      </c>
      <c r="J15" s="9">
        <v>1</v>
      </c>
      <c r="K15" s="9">
        <v>5</v>
      </c>
      <c r="L15" s="13">
        <v>5</v>
      </c>
      <c r="M15" s="19">
        <v>1</v>
      </c>
      <c r="N15" s="20" t="s">
        <v>67</v>
      </c>
      <c r="O15" s="20"/>
      <c r="P15" s="20"/>
      <c r="Q15" s="19">
        <v>2</v>
      </c>
      <c r="R15" s="20" t="s">
        <v>66</v>
      </c>
      <c r="S15" s="20"/>
      <c r="T15" s="20"/>
      <c r="U15" s="19">
        <v>3</v>
      </c>
      <c r="V15" s="20" t="s">
        <v>65</v>
      </c>
      <c r="W15" s="20"/>
      <c r="X15" s="20"/>
      <c r="Y15" s="20">
        <v>4</v>
      </c>
      <c r="Z15" s="20" t="s">
        <v>68</v>
      </c>
      <c r="AA15" s="20"/>
      <c r="AB15" s="20"/>
      <c r="AC15" s="20">
        <v>5</v>
      </c>
      <c r="AD15" s="20" t="s">
        <v>69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13.5" customHeight="1">
      <c r="A16" s="14">
        <v>10</v>
      </c>
      <c r="B16" s="15" t="s">
        <v>85</v>
      </c>
      <c r="C16" s="12"/>
      <c r="D16" s="12"/>
      <c r="E16" s="10" t="s">
        <v>8</v>
      </c>
      <c r="F16" s="12">
        <v>10</v>
      </c>
      <c r="G16" s="16" t="s">
        <v>77</v>
      </c>
      <c r="H16" s="13" t="s">
        <v>63</v>
      </c>
      <c r="I16" s="9" t="s">
        <v>63</v>
      </c>
      <c r="J16" s="9">
        <v>1</v>
      </c>
      <c r="K16" s="9">
        <v>5</v>
      </c>
      <c r="L16" s="13">
        <v>5</v>
      </c>
      <c r="M16" s="19">
        <v>1</v>
      </c>
      <c r="N16" s="20" t="s">
        <v>67</v>
      </c>
      <c r="O16" s="20"/>
      <c r="P16" s="20"/>
      <c r="Q16" s="19">
        <v>2</v>
      </c>
      <c r="R16" s="20" t="s">
        <v>66</v>
      </c>
      <c r="S16" s="20"/>
      <c r="T16" s="20"/>
      <c r="U16" s="19">
        <v>3</v>
      </c>
      <c r="V16" s="20" t="s">
        <v>65</v>
      </c>
      <c r="W16" s="20"/>
      <c r="X16" s="20"/>
      <c r="Y16" s="20">
        <v>4</v>
      </c>
      <c r="Z16" s="20" t="s">
        <v>68</v>
      </c>
      <c r="AA16" s="20"/>
      <c r="AB16" s="20"/>
      <c r="AC16" s="20">
        <v>5</v>
      </c>
      <c r="AD16" s="20" t="s">
        <v>69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13.5" customHeight="1">
      <c r="A17" s="14">
        <v>11</v>
      </c>
      <c r="B17" s="15" t="s">
        <v>91</v>
      </c>
      <c r="C17" s="12"/>
      <c r="D17" s="12"/>
      <c r="E17" s="10" t="s">
        <v>9</v>
      </c>
      <c r="F17" s="10">
        <v>11</v>
      </c>
      <c r="G17" s="16" t="s">
        <v>78</v>
      </c>
      <c r="H17" s="13" t="s">
        <v>63</v>
      </c>
      <c r="I17" s="9" t="s">
        <v>63</v>
      </c>
      <c r="J17" s="9">
        <v>1</v>
      </c>
      <c r="K17" s="9">
        <v>5</v>
      </c>
      <c r="L17" s="13">
        <v>5</v>
      </c>
      <c r="M17" s="19">
        <v>1</v>
      </c>
      <c r="N17" s="20" t="s">
        <v>67</v>
      </c>
      <c r="O17" s="20"/>
      <c r="P17" s="20"/>
      <c r="Q17" s="19">
        <v>2</v>
      </c>
      <c r="R17" s="20" t="s">
        <v>66</v>
      </c>
      <c r="S17" s="20"/>
      <c r="T17" s="20"/>
      <c r="U17" s="19">
        <v>3</v>
      </c>
      <c r="V17" s="20" t="s">
        <v>65</v>
      </c>
      <c r="W17" s="20"/>
      <c r="X17" s="20"/>
      <c r="Y17" s="20">
        <v>4</v>
      </c>
      <c r="Z17" s="20" t="s">
        <v>68</v>
      </c>
      <c r="AA17" s="20"/>
      <c r="AB17" s="20"/>
      <c r="AC17" s="20">
        <v>5</v>
      </c>
      <c r="AD17" s="20" t="s">
        <v>69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ht="13.5" customHeight="1">
      <c r="A18" s="14">
        <v>12</v>
      </c>
      <c r="B18" s="18" t="s">
        <v>92</v>
      </c>
      <c r="C18" s="12"/>
      <c r="D18" s="12"/>
      <c r="E18" s="10" t="s">
        <v>9</v>
      </c>
      <c r="F18" s="10">
        <v>12</v>
      </c>
      <c r="G18" s="16" t="s">
        <v>78</v>
      </c>
      <c r="H18" s="13" t="s">
        <v>63</v>
      </c>
      <c r="I18" s="9" t="s">
        <v>63</v>
      </c>
      <c r="J18" s="9">
        <v>1</v>
      </c>
      <c r="K18" s="9">
        <v>5</v>
      </c>
      <c r="L18" s="13">
        <v>5</v>
      </c>
      <c r="M18" s="19">
        <v>1</v>
      </c>
      <c r="N18" s="20" t="s">
        <v>67</v>
      </c>
      <c r="O18" s="20"/>
      <c r="P18" s="20"/>
      <c r="Q18" s="19">
        <v>2</v>
      </c>
      <c r="R18" s="20" t="s">
        <v>66</v>
      </c>
      <c r="S18" s="20"/>
      <c r="T18" s="20"/>
      <c r="U18" s="19">
        <v>3</v>
      </c>
      <c r="V18" s="20" t="s">
        <v>65</v>
      </c>
      <c r="W18" s="20"/>
      <c r="X18" s="20"/>
      <c r="Y18" s="20">
        <v>4</v>
      </c>
      <c r="Z18" s="20" t="s">
        <v>68</v>
      </c>
      <c r="AA18" s="20"/>
      <c r="AB18" s="20"/>
      <c r="AC18" s="20">
        <v>5</v>
      </c>
      <c r="AD18" s="20" t="s">
        <v>69</v>
      </c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ht="13.5" customHeight="1">
      <c r="A19" s="14">
        <v>13</v>
      </c>
      <c r="B19" s="15" t="s">
        <v>86</v>
      </c>
      <c r="C19" s="12"/>
      <c r="D19" s="12"/>
      <c r="E19" s="10" t="s">
        <v>9</v>
      </c>
      <c r="F19" s="10">
        <v>13</v>
      </c>
      <c r="G19" s="16" t="s">
        <v>78</v>
      </c>
      <c r="H19" s="13" t="s">
        <v>63</v>
      </c>
      <c r="I19" s="9" t="s">
        <v>63</v>
      </c>
      <c r="J19" s="9">
        <v>1</v>
      </c>
      <c r="K19" s="9">
        <v>5</v>
      </c>
      <c r="L19" s="13">
        <v>5</v>
      </c>
      <c r="M19" s="19">
        <v>1</v>
      </c>
      <c r="N19" s="20" t="s">
        <v>67</v>
      </c>
      <c r="O19" s="20"/>
      <c r="P19" s="20"/>
      <c r="Q19" s="19">
        <v>2</v>
      </c>
      <c r="R19" s="20" t="s">
        <v>66</v>
      </c>
      <c r="S19" s="20"/>
      <c r="T19" s="20"/>
      <c r="U19" s="19">
        <v>3</v>
      </c>
      <c r="V19" s="20" t="s">
        <v>65</v>
      </c>
      <c r="W19" s="20"/>
      <c r="X19" s="20"/>
      <c r="Y19" s="20">
        <v>4</v>
      </c>
      <c r="Z19" s="20" t="s">
        <v>68</v>
      </c>
      <c r="AA19" s="20"/>
      <c r="AB19" s="20"/>
      <c r="AC19" s="20">
        <v>5</v>
      </c>
      <c r="AD19" s="20" t="s">
        <v>69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ht="13.5" customHeight="1">
      <c r="A20" s="14">
        <v>14</v>
      </c>
      <c r="B20" s="15" t="s">
        <v>93</v>
      </c>
      <c r="C20" s="12"/>
      <c r="D20" s="12"/>
      <c r="E20" s="10" t="s">
        <v>10</v>
      </c>
      <c r="F20" s="10">
        <v>14</v>
      </c>
      <c r="G20" s="16" t="s">
        <v>79</v>
      </c>
      <c r="H20" s="13" t="s">
        <v>63</v>
      </c>
      <c r="I20" s="9" t="s">
        <v>63</v>
      </c>
      <c r="J20" s="9">
        <v>1</v>
      </c>
      <c r="K20" s="9">
        <v>5</v>
      </c>
      <c r="L20" s="13">
        <v>5</v>
      </c>
      <c r="M20" s="19">
        <v>1</v>
      </c>
      <c r="N20" s="20" t="s">
        <v>67</v>
      </c>
      <c r="O20" s="20"/>
      <c r="P20" s="20"/>
      <c r="Q20" s="19">
        <v>2</v>
      </c>
      <c r="R20" s="20" t="s">
        <v>66</v>
      </c>
      <c r="S20" s="20"/>
      <c r="T20" s="20"/>
      <c r="U20" s="19">
        <v>3</v>
      </c>
      <c r="V20" s="20" t="s">
        <v>65</v>
      </c>
      <c r="W20" s="20"/>
      <c r="X20" s="20"/>
      <c r="Y20" s="20">
        <v>4</v>
      </c>
      <c r="Z20" s="20" t="s">
        <v>68</v>
      </c>
      <c r="AA20" s="20"/>
      <c r="AB20" s="20"/>
      <c r="AC20" s="20">
        <v>5</v>
      </c>
      <c r="AD20" s="20" t="s">
        <v>69</v>
      </c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ht="13.5" customHeight="1">
      <c r="A21" s="14">
        <v>15</v>
      </c>
      <c r="B21" s="15" t="s">
        <v>73</v>
      </c>
      <c r="C21" s="12"/>
      <c r="D21" s="12"/>
      <c r="E21" s="10" t="s">
        <v>10</v>
      </c>
      <c r="F21" s="12">
        <v>15</v>
      </c>
      <c r="G21" s="16" t="s">
        <v>79</v>
      </c>
      <c r="H21" s="13" t="s">
        <v>63</v>
      </c>
      <c r="I21" s="9" t="s">
        <v>63</v>
      </c>
      <c r="J21" s="9">
        <v>1</v>
      </c>
      <c r="K21" s="9">
        <v>5</v>
      </c>
      <c r="L21" s="13">
        <v>5</v>
      </c>
      <c r="M21" s="19">
        <v>1</v>
      </c>
      <c r="N21" s="20" t="s">
        <v>67</v>
      </c>
      <c r="O21" s="20"/>
      <c r="P21" s="20"/>
      <c r="Q21" s="19">
        <v>2</v>
      </c>
      <c r="R21" s="20" t="s">
        <v>66</v>
      </c>
      <c r="S21" s="20"/>
      <c r="T21" s="20"/>
      <c r="U21" s="19">
        <v>3</v>
      </c>
      <c r="V21" s="20" t="s">
        <v>65</v>
      </c>
      <c r="W21" s="20"/>
      <c r="X21" s="20"/>
      <c r="Y21" s="20">
        <v>4</v>
      </c>
      <c r="Z21" s="20" t="s">
        <v>68</v>
      </c>
      <c r="AA21" s="20"/>
      <c r="AB21" s="20"/>
      <c r="AC21" s="20">
        <v>5</v>
      </c>
      <c r="AD21" s="20" t="s">
        <v>69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ht="13.5" customHeight="1">
      <c r="A22" s="14">
        <v>16</v>
      </c>
      <c r="B22" s="15" t="s">
        <v>94</v>
      </c>
      <c r="C22" s="12"/>
      <c r="D22" s="12"/>
      <c r="E22" s="10" t="s">
        <v>10</v>
      </c>
      <c r="F22" s="10">
        <v>16</v>
      </c>
      <c r="G22" s="16" t="s">
        <v>79</v>
      </c>
      <c r="H22" s="13" t="s">
        <v>63</v>
      </c>
      <c r="I22" s="9" t="s">
        <v>63</v>
      </c>
      <c r="J22" s="9">
        <v>1</v>
      </c>
      <c r="K22" s="9">
        <v>5</v>
      </c>
      <c r="L22" s="13">
        <v>5</v>
      </c>
      <c r="M22" s="19">
        <v>1</v>
      </c>
      <c r="N22" s="20" t="s">
        <v>67</v>
      </c>
      <c r="O22" s="20"/>
      <c r="P22" s="20"/>
      <c r="Q22" s="19">
        <v>2</v>
      </c>
      <c r="R22" s="20" t="s">
        <v>66</v>
      </c>
      <c r="S22" s="20"/>
      <c r="T22" s="20"/>
      <c r="U22" s="19">
        <v>3</v>
      </c>
      <c r="V22" s="20" t="s">
        <v>65</v>
      </c>
      <c r="W22" s="20"/>
      <c r="X22" s="20"/>
      <c r="Y22" s="20">
        <v>4</v>
      </c>
      <c r="Z22" s="20" t="s">
        <v>68</v>
      </c>
      <c r="AA22" s="20"/>
      <c r="AB22" s="20"/>
      <c r="AC22" s="20">
        <v>5</v>
      </c>
      <c r="AD22" s="20" t="s">
        <v>69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ht="13.5" customHeight="1">
      <c r="A23" s="14">
        <v>17</v>
      </c>
      <c r="B23" s="17" t="s">
        <v>74</v>
      </c>
      <c r="C23" s="12"/>
      <c r="D23" s="12"/>
      <c r="E23" s="10" t="s">
        <v>10</v>
      </c>
      <c r="F23" s="10">
        <v>17</v>
      </c>
      <c r="G23" s="16" t="s">
        <v>79</v>
      </c>
      <c r="H23" s="13" t="s">
        <v>63</v>
      </c>
      <c r="I23" s="9" t="s">
        <v>63</v>
      </c>
      <c r="J23" s="9">
        <v>1</v>
      </c>
      <c r="K23" s="9">
        <v>5</v>
      </c>
      <c r="L23" s="13">
        <v>5</v>
      </c>
      <c r="M23" s="19">
        <v>1</v>
      </c>
      <c r="N23" s="20" t="s">
        <v>67</v>
      </c>
      <c r="O23" s="20"/>
      <c r="P23" s="20"/>
      <c r="Q23" s="19">
        <v>2</v>
      </c>
      <c r="R23" s="20" t="s">
        <v>66</v>
      </c>
      <c r="S23" s="20"/>
      <c r="T23" s="20"/>
      <c r="U23" s="19">
        <v>3</v>
      </c>
      <c r="V23" s="20" t="s">
        <v>65</v>
      </c>
      <c r="W23" s="20"/>
      <c r="X23" s="20"/>
      <c r="Y23" s="20">
        <v>4</v>
      </c>
      <c r="Z23" s="20" t="s">
        <v>68</v>
      </c>
      <c r="AA23" s="20"/>
      <c r="AB23" s="20"/>
      <c r="AC23" s="20">
        <v>5</v>
      </c>
      <c r="AD23" s="20" t="s">
        <v>69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ht="13.5" customHeight="1">
      <c r="A24" s="14">
        <v>18</v>
      </c>
      <c r="B24" s="15" t="s">
        <v>75</v>
      </c>
      <c r="C24" s="12"/>
      <c r="D24" s="12"/>
      <c r="E24" s="10" t="s">
        <v>10</v>
      </c>
      <c r="F24" s="10">
        <v>18</v>
      </c>
      <c r="G24" s="16" t="s">
        <v>79</v>
      </c>
      <c r="H24" s="13" t="s">
        <v>63</v>
      </c>
      <c r="I24" s="9" t="s">
        <v>63</v>
      </c>
      <c r="J24" s="9">
        <v>1</v>
      </c>
      <c r="K24" s="9">
        <v>5</v>
      </c>
      <c r="L24" s="13">
        <v>5</v>
      </c>
      <c r="M24" s="19">
        <v>1</v>
      </c>
      <c r="N24" s="20" t="s">
        <v>67</v>
      </c>
      <c r="O24" s="20"/>
      <c r="P24" s="20"/>
      <c r="Q24" s="19">
        <v>2</v>
      </c>
      <c r="R24" s="20" t="s">
        <v>66</v>
      </c>
      <c r="S24" s="20"/>
      <c r="T24" s="20"/>
      <c r="U24" s="19">
        <v>3</v>
      </c>
      <c r="V24" s="20" t="s">
        <v>65</v>
      </c>
      <c r="W24" s="20"/>
      <c r="X24" s="20"/>
      <c r="Y24" s="20">
        <v>4</v>
      </c>
      <c r="Z24" s="20" t="s">
        <v>68</v>
      </c>
      <c r="AA24" s="20"/>
      <c r="AB24" s="20"/>
      <c r="AC24" s="20">
        <v>5</v>
      </c>
      <c r="AD24" s="20" t="s">
        <v>69</v>
      </c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ht="13.5" customHeight="1">
      <c r="A25" s="14">
        <v>19</v>
      </c>
      <c r="B25" s="17" t="s">
        <v>95</v>
      </c>
      <c r="C25" s="12"/>
      <c r="D25" s="12"/>
      <c r="E25" s="10" t="s">
        <v>11</v>
      </c>
      <c r="F25" s="10">
        <v>19</v>
      </c>
      <c r="G25" s="16" t="s">
        <v>80</v>
      </c>
      <c r="H25" s="13" t="s">
        <v>63</v>
      </c>
      <c r="I25" s="9" t="s">
        <v>63</v>
      </c>
      <c r="J25" s="9">
        <v>1</v>
      </c>
      <c r="K25" s="9">
        <v>5</v>
      </c>
      <c r="L25" s="13">
        <v>5</v>
      </c>
      <c r="M25" s="19">
        <v>1</v>
      </c>
      <c r="N25" s="20" t="s">
        <v>67</v>
      </c>
      <c r="O25" s="20"/>
      <c r="P25" s="20"/>
      <c r="Q25" s="19">
        <v>2</v>
      </c>
      <c r="R25" s="20" t="s">
        <v>66</v>
      </c>
      <c r="S25" s="20"/>
      <c r="T25" s="20"/>
      <c r="U25" s="19">
        <v>3</v>
      </c>
      <c r="V25" s="20" t="s">
        <v>65</v>
      </c>
      <c r="W25" s="20"/>
      <c r="X25" s="20"/>
      <c r="Y25" s="20">
        <v>4</v>
      </c>
      <c r="Z25" s="20" t="s">
        <v>68</v>
      </c>
      <c r="AA25" s="20"/>
      <c r="AB25" s="20"/>
      <c r="AC25" s="20">
        <v>5</v>
      </c>
      <c r="AD25" s="20" t="s">
        <v>69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ht="13.5" customHeight="1">
      <c r="A26" s="14">
        <v>20</v>
      </c>
      <c r="B26" s="15" t="s">
        <v>96</v>
      </c>
      <c r="C26" s="12"/>
      <c r="D26" s="12"/>
      <c r="E26" s="10" t="s">
        <v>11</v>
      </c>
      <c r="F26" s="12">
        <v>20</v>
      </c>
      <c r="G26" s="16" t="s">
        <v>80</v>
      </c>
      <c r="H26" s="13" t="s">
        <v>63</v>
      </c>
      <c r="I26" s="9" t="s">
        <v>63</v>
      </c>
      <c r="J26" s="9">
        <v>1</v>
      </c>
      <c r="K26" s="9">
        <v>5</v>
      </c>
      <c r="L26" s="13">
        <v>5</v>
      </c>
      <c r="M26" s="19">
        <v>1</v>
      </c>
      <c r="N26" s="20" t="s">
        <v>67</v>
      </c>
      <c r="O26" s="20"/>
      <c r="P26" s="20"/>
      <c r="Q26" s="19">
        <v>2</v>
      </c>
      <c r="R26" s="20" t="s">
        <v>66</v>
      </c>
      <c r="S26" s="20"/>
      <c r="T26" s="20"/>
      <c r="U26" s="19">
        <v>3</v>
      </c>
      <c r="V26" s="20" t="s">
        <v>65</v>
      </c>
      <c r="W26" s="20"/>
      <c r="X26" s="20"/>
      <c r="Y26" s="20">
        <v>4</v>
      </c>
      <c r="Z26" s="20" t="s">
        <v>68</v>
      </c>
      <c r="AA26" s="20"/>
      <c r="AB26" s="20"/>
      <c r="AC26" s="20">
        <v>5</v>
      </c>
      <c r="AD26" s="20" t="s">
        <v>69</v>
      </c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ht="13.5" customHeight="1">
      <c r="A27" s="14">
        <v>21</v>
      </c>
      <c r="B27" s="17" t="s">
        <v>97</v>
      </c>
      <c r="C27" s="12"/>
      <c r="D27" s="12"/>
      <c r="E27" s="10" t="s">
        <v>11</v>
      </c>
      <c r="F27" s="10">
        <v>21</v>
      </c>
      <c r="G27" s="16" t="s">
        <v>80</v>
      </c>
      <c r="H27" s="13" t="s">
        <v>63</v>
      </c>
      <c r="I27" s="9" t="s">
        <v>63</v>
      </c>
      <c r="J27" s="9">
        <v>1</v>
      </c>
      <c r="K27" s="9">
        <v>5</v>
      </c>
      <c r="L27" s="13">
        <v>5</v>
      </c>
      <c r="M27" s="19">
        <v>1</v>
      </c>
      <c r="N27" s="20" t="s">
        <v>67</v>
      </c>
      <c r="O27" s="20"/>
      <c r="P27" s="20"/>
      <c r="Q27" s="19">
        <v>2</v>
      </c>
      <c r="R27" s="20" t="s">
        <v>66</v>
      </c>
      <c r="S27" s="20"/>
      <c r="T27" s="20"/>
      <c r="U27" s="19">
        <v>3</v>
      </c>
      <c r="V27" s="20" t="s">
        <v>65</v>
      </c>
      <c r="W27" s="20"/>
      <c r="X27" s="20"/>
      <c r="Y27" s="20">
        <v>4</v>
      </c>
      <c r="Z27" s="20" t="s">
        <v>68</v>
      </c>
      <c r="AA27" s="20"/>
      <c r="AB27" s="20"/>
      <c r="AC27" s="20">
        <v>5</v>
      </c>
      <c r="AD27" s="20" t="s">
        <v>69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ht="13.5" customHeight="1">
      <c r="A28" s="14">
        <v>22</v>
      </c>
      <c r="B28" s="17" t="s">
        <v>98</v>
      </c>
      <c r="C28" s="12"/>
      <c r="D28" s="12"/>
      <c r="E28" s="10" t="s">
        <v>11</v>
      </c>
      <c r="F28" s="10">
        <v>22</v>
      </c>
      <c r="G28" s="16" t="s">
        <v>80</v>
      </c>
      <c r="H28" s="13" t="s">
        <v>63</v>
      </c>
      <c r="I28" s="9" t="s">
        <v>63</v>
      </c>
      <c r="J28" s="9">
        <v>1</v>
      </c>
      <c r="K28" s="9">
        <v>5</v>
      </c>
      <c r="L28" s="13">
        <v>5</v>
      </c>
      <c r="M28" s="19">
        <v>1</v>
      </c>
      <c r="N28" s="20" t="s">
        <v>67</v>
      </c>
      <c r="O28" s="20"/>
      <c r="P28" s="20"/>
      <c r="Q28" s="19">
        <v>2</v>
      </c>
      <c r="R28" s="20" t="s">
        <v>66</v>
      </c>
      <c r="S28" s="20"/>
      <c r="T28" s="20"/>
      <c r="U28" s="19">
        <v>3</v>
      </c>
      <c r="V28" s="20" t="s">
        <v>65</v>
      </c>
      <c r="W28" s="20"/>
      <c r="X28" s="20"/>
      <c r="Y28" s="20">
        <v>4</v>
      </c>
      <c r="Z28" s="20" t="s">
        <v>68</v>
      </c>
      <c r="AA28" s="20"/>
      <c r="AB28" s="20"/>
      <c r="AC28" s="20">
        <v>5</v>
      </c>
      <c r="AD28" s="20" t="s">
        <v>69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ht="13.5" customHeight="1">
      <c r="A29" s="14">
        <v>23</v>
      </c>
      <c r="B29" s="17" t="s">
        <v>99</v>
      </c>
      <c r="C29" s="12"/>
      <c r="D29" s="12"/>
      <c r="E29" s="10" t="s">
        <v>11</v>
      </c>
      <c r="F29" s="10">
        <v>23</v>
      </c>
      <c r="G29" s="16" t="s">
        <v>80</v>
      </c>
      <c r="H29" s="13" t="s">
        <v>63</v>
      </c>
      <c r="I29" s="9" t="s">
        <v>63</v>
      </c>
      <c r="J29" s="9">
        <v>1</v>
      </c>
      <c r="K29" s="9">
        <v>5</v>
      </c>
      <c r="L29" s="13">
        <v>5</v>
      </c>
      <c r="M29" s="19">
        <v>1</v>
      </c>
      <c r="N29" s="20" t="s">
        <v>67</v>
      </c>
      <c r="O29" s="20"/>
      <c r="P29" s="20"/>
      <c r="Q29" s="19">
        <v>2</v>
      </c>
      <c r="R29" s="20" t="s">
        <v>66</v>
      </c>
      <c r="S29" s="20"/>
      <c r="T29" s="20"/>
      <c r="U29" s="19">
        <v>3</v>
      </c>
      <c r="V29" s="20" t="s">
        <v>65</v>
      </c>
      <c r="W29" s="20"/>
      <c r="X29" s="20"/>
      <c r="Y29" s="20">
        <v>4</v>
      </c>
      <c r="Z29" s="20" t="s">
        <v>68</v>
      </c>
      <c r="AA29" s="20"/>
      <c r="AB29" s="20"/>
      <c r="AC29" s="20">
        <v>5</v>
      </c>
      <c r="AD29" s="20" t="s">
        <v>69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</sheetData>
  <mergeCells count="7">
    <mergeCell ref="A4:B4"/>
    <mergeCell ref="C2:E2"/>
    <mergeCell ref="A2:B2"/>
    <mergeCell ref="A1:F1"/>
    <mergeCell ref="C4:E4"/>
    <mergeCell ref="C3:E3"/>
    <mergeCell ref="A3:B3"/>
  </mergeCells>
  <phoneticPr fontId="2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21. 척도코드</vt:lpstr>
      <vt:lpstr>22. 문항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 수민</dc:creator>
  <cp:lastModifiedBy>부유민</cp:lastModifiedBy>
  <dcterms:created xsi:type="dcterms:W3CDTF">2024-01-19T01:55:16Z</dcterms:created>
  <dcterms:modified xsi:type="dcterms:W3CDTF">2025-07-08T01:33:14Z</dcterms:modified>
</cp:coreProperties>
</file>